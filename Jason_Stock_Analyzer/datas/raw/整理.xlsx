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工作表1" sheetId="1" r:id="rId1"/>
    <sheet name="工作表2" sheetId="2" r:id="rId2"/>
  </sheets>
  <calcPr calcId="152511"/>
</workbook>
</file>

<file path=xl/calcChain.xml><?xml version="1.0" encoding="utf-8"?>
<calcChain xmlns="http://schemas.openxmlformats.org/spreadsheetml/2006/main">
  <c r="A31" i="1" l="1"/>
</calcChain>
</file>

<file path=xl/sharedStrings.xml><?xml version="1.0" encoding="utf-8"?>
<sst xmlns="http://schemas.openxmlformats.org/spreadsheetml/2006/main" count="81" uniqueCount="54">
  <si>
    <t>證券代號</t>
  </si>
  <si>
    <t>證券名稱</t>
  </si>
  <si>
    <t>收盤價</t>
  </si>
  <si>
    <t>殖利率(%)</t>
  </si>
  <si>
    <t>本益比</t>
  </si>
  <si>
    <t>股價淨值比</t>
  </si>
  <si>
    <t>台泥</t>
  </si>
  <si>
    <t>-</t>
  </si>
  <si>
    <t>指數</t>
  </si>
  <si>
    <t>收盤指數</t>
  </si>
  <si>
    <t>漲跌(+/-)</t>
  </si>
  <si>
    <t>漲跌點數</t>
  </si>
  <si>
    <t>漲跌百分比(%)</t>
  </si>
  <si>
    <t>寶島股價指數</t>
  </si>
  <si>
    <t>+</t>
  </si>
  <si>
    <t>2_MI_INDEX</t>
    <phoneticPr fontId="1" type="noConversion"/>
  </si>
  <si>
    <t>成交股數</t>
  </si>
  <si>
    <t>成交筆數</t>
  </si>
  <si>
    <t>開盤價</t>
  </si>
  <si>
    <t>最高價</t>
  </si>
  <si>
    <t>最低價</t>
  </si>
  <si>
    <t>漲跌價差</t>
  </si>
  <si>
    <t>力積電</t>
  </si>
  <si>
    <t>5_TWTASU</t>
  </si>
  <si>
    <t>6_BFIAMU</t>
  </si>
  <si>
    <t>7_FMTQIK</t>
  </si>
  <si>
    <t>8_BFI82U</t>
  </si>
  <si>
    <t>買進股數</t>
  </si>
  <si>
    <t>賣出股數</t>
  </si>
  <si>
    <t>買賣超股數</t>
  </si>
  <si>
    <t>買進股數.2</t>
  </si>
  <si>
    <t>賣出股數.2</t>
  </si>
  <si>
    <t>買賣超股數.2</t>
  </si>
  <si>
    <t xml:space="preserve">元大高股息      </t>
  </si>
  <si>
    <t>9_TWT43U  自營商買賣超</t>
    <phoneticPr fontId="1" type="noConversion"/>
  </si>
  <si>
    <t>4_MI_INDEX20 成交量前二十名證券</t>
    <phoneticPr fontId="1" type="noConversion"/>
  </si>
  <si>
    <t>3_BWIBBU_d  個股日本益比、殖利率及股價淨值比</t>
    <phoneticPr fontId="1" type="noConversion"/>
  </si>
  <si>
    <t xml:space="preserve">中鴻            </t>
  </si>
  <si>
    <t>10_TWT44U 投信買賣超彙總表</t>
    <phoneticPr fontId="1" type="noConversion"/>
  </si>
  <si>
    <t>11_T86</t>
  </si>
  <si>
    <t>外陸資買賣超股數(不含外資自營商)</t>
  </si>
  <si>
    <t>投信買賣超股數</t>
  </si>
  <si>
    <t>自營商買賣超股數</t>
  </si>
  <si>
    <t>自營商買賣超股數(自行買賣)</t>
  </si>
  <si>
    <t>自營商買賣超股數(避險)</t>
  </si>
  <si>
    <t>三大法人買賣超股數</t>
  </si>
  <si>
    <t xml:space="preserve">中鋼            </t>
  </si>
  <si>
    <t>每日整理</t>
    <phoneticPr fontId="1" type="noConversion"/>
  </si>
  <si>
    <t>日期</t>
  </si>
  <si>
    <t>成交金額</t>
  </si>
  <si>
    <t>114/11/03</t>
  </si>
  <si>
    <t>1_STOCK_DAY 股票每日行情</t>
    <phoneticPr fontId="1" type="noConversion"/>
  </si>
  <si>
    <t>外資自營商買賣超股數</t>
    <phoneticPr fontId="1" type="noConversion"/>
  </si>
  <si>
    <t>給證券名稱及日期--&gt;取得當日往前6日的收盤價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</si>
</sst>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trike/>
      <sz val="12"/>
      <color theme="1"/>
      <name val="新細明體"/>
      <family val="2"/>
      <scheme val="minor"/>
    </font>
    <font>
      <strike/>
      <sz val="12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3" fontId="0" fillId="2" borderId="0" xfId="0" applyNumberForma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tabSelected="1" topLeftCell="A25" workbookViewId="0">
      <selection activeCell="A46" sqref="A46"/>
    </sheetView>
  </sheetViews>
  <sheetFormatPr defaultRowHeight="16.2" x14ac:dyDescent="0.3"/>
  <cols>
    <col min="1" max="1" width="15.33203125" style="4" bestFit="1" customWidth="1"/>
    <col min="2" max="2" width="16.5546875" style="4" bestFit="1" customWidth="1"/>
    <col min="3" max="4" width="36.33203125" style="4" bestFit="1" customWidth="1"/>
    <col min="5" max="5" width="38.77734375" style="4" bestFit="1" customWidth="1"/>
    <col min="6" max="6" width="22.6640625" style="4" bestFit="1" customWidth="1"/>
    <col min="7" max="8" width="29" style="4" bestFit="1" customWidth="1"/>
    <col min="9" max="9" width="31.44140625" style="4" bestFit="1" customWidth="1"/>
    <col min="10" max="10" width="15.33203125" style="4" bestFit="1" customWidth="1"/>
    <col min="11" max="11" width="17.77734375" style="4" bestFit="1" customWidth="1"/>
    <col min="12" max="12" width="20.21875" style="4" bestFit="1" customWidth="1"/>
    <col min="13" max="14" width="29" style="4" bestFit="1" customWidth="1"/>
    <col min="15" max="15" width="31.44140625" style="4" bestFit="1" customWidth="1"/>
    <col min="16" max="17" width="24.109375" style="4" bestFit="1" customWidth="1"/>
    <col min="18" max="18" width="26.5546875" style="4" bestFit="1" customWidth="1"/>
    <col min="19" max="19" width="22.6640625" style="4" bestFit="1" customWidth="1"/>
    <col min="20" max="16384" width="8.88671875" style="4"/>
  </cols>
  <sheetData>
    <row r="1" spans="1:13" x14ac:dyDescent="0.3">
      <c r="A1" s="3" t="s">
        <v>51</v>
      </c>
      <c r="B1" s="3"/>
      <c r="C1" s="3"/>
      <c r="D1" s="3"/>
      <c r="E1" s="3"/>
      <c r="F1" s="3"/>
      <c r="G1" s="3"/>
      <c r="H1" s="3"/>
      <c r="I1" s="3"/>
    </row>
    <row r="2" spans="1:13" x14ac:dyDescent="0.3">
      <c r="A2" s="1" t="s">
        <v>48</v>
      </c>
      <c r="B2" s="1" t="s">
        <v>16</v>
      </c>
      <c r="C2" s="1" t="s">
        <v>49</v>
      </c>
      <c r="D2" s="1" t="s">
        <v>18</v>
      </c>
      <c r="E2" s="1" t="s">
        <v>19</v>
      </c>
      <c r="F2" s="1" t="s">
        <v>20</v>
      </c>
      <c r="G2" s="1" t="s">
        <v>2</v>
      </c>
      <c r="H2" s="1" t="s">
        <v>21</v>
      </c>
      <c r="I2" s="1" t="s">
        <v>17</v>
      </c>
    </row>
    <row r="3" spans="1:13" x14ac:dyDescent="0.3">
      <c r="A3" s="1" t="s">
        <v>50</v>
      </c>
      <c r="B3" s="2">
        <v>44983386</v>
      </c>
      <c r="C3" s="2">
        <v>975904105</v>
      </c>
      <c r="D3" s="1">
        <v>22.1</v>
      </c>
      <c r="E3" s="1">
        <v>22.15</v>
      </c>
      <c r="F3" s="1">
        <v>21.5</v>
      </c>
      <c r="G3" s="1">
        <v>21.5</v>
      </c>
      <c r="H3" s="1">
        <v>-0.6</v>
      </c>
      <c r="I3" s="2">
        <v>22750</v>
      </c>
    </row>
    <row r="4" spans="1:13" x14ac:dyDescent="0.3">
      <c r="A4" s="1"/>
      <c r="B4" s="2"/>
      <c r="C4" s="2"/>
      <c r="D4" s="1"/>
      <c r="E4" s="1"/>
      <c r="F4" s="1"/>
      <c r="G4" s="1"/>
      <c r="H4" s="1"/>
      <c r="I4" s="2"/>
    </row>
    <row r="5" spans="1:13" x14ac:dyDescent="0.3">
      <c r="A5" s="1"/>
      <c r="B5" s="2"/>
      <c r="C5" s="2"/>
      <c r="D5" s="1"/>
      <c r="E5" s="1"/>
      <c r="F5" s="1"/>
      <c r="G5" s="1"/>
      <c r="H5" s="1"/>
      <c r="I5" s="2"/>
    </row>
    <row r="6" spans="1:13" x14ac:dyDescent="0.3">
      <c r="A6" s="3" t="s">
        <v>15</v>
      </c>
      <c r="B6" s="3"/>
      <c r="C6" s="3"/>
      <c r="D6" s="3"/>
      <c r="E6" s="3"/>
    </row>
    <row r="7" spans="1:13" x14ac:dyDescent="0.3">
      <c r="A7" s="4" t="s">
        <v>8</v>
      </c>
      <c r="B7" s="4" t="s">
        <v>9</v>
      </c>
      <c r="C7" s="4" t="s">
        <v>10</v>
      </c>
      <c r="D7" s="4" t="s">
        <v>11</v>
      </c>
      <c r="E7" s="4" t="s">
        <v>12</v>
      </c>
    </row>
    <row r="8" spans="1:13" x14ac:dyDescent="0.3">
      <c r="A8" s="4" t="s">
        <v>13</v>
      </c>
      <c r="B8" s="6">
        <v>17002.650000000001</v>
      </c>
      <c r="C8" s="4" t="s">
        <v>14</v>
      </c>
      <c r="D8" s="4">
        <v>189.97</v>
      </c>
      <c r="E8" s="4">
        <v>1.1299999999999999</v>
      </c>
    </row>
    <row r="11" spans="1:13" x14ac:dyDescent="0.3">
      <c r="A11" s="3" t="s">
        <v>36</v>
      </c>
      <c r="B11" s="3"/>
      <c r="C11" s="3"/>
      <c r="D11" s="3"/>
      <c r="E11" s="3"/>
      <c r="F11" s="3"/>
    </row>
    <row r="12" spans="1:13" x14ac:dyDescent="0.3">
      <c r="A12" s="4" t="s">
        <v>0</v>
      </c>
      <c r="B12" s="4" t="s">
        <v>1</v>
      </c>
      <c r="C12" s="4" t="s">
        <v>2</v>
      </c>
      <c r="D12" s="4" t="s">
        <v>3</v>
      </c>
      <c r="E12" s="4" t="s">
        <v>4</v>
      </c>
      <c r="F12" s="4" t="s">
        <v>5</v>
      </c>
    </row>
    <row r="13" spans="1:13" x14ac:dyDescent="0.3">
      <c r="A13" s="4">
        <v>1101</v>
      </c>
      <c r="B13" s="4" t="s">
        <v>6</v>
      </c>
      <c r="C13" s="4">
        <v>20.85</v>
      </c>
      <c r="D13" s="4">
        <v>4.8</v>
      </c>
      <c r="E13" s="4" t="s">
        <v>7</v>
      </c>
      <c r="F13" s="4">
        <v>0.72</v>
      </c>
    </row>
    <row r="16" spans="1:13" x14ac:dyDescent="0.3">
      <c r="A16" s="3" t="s">
        <v>35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1" x14ac:dyDescent="0.3">
      <c r="A17" s="4" t="s">
        <v>0</v>
      </c>
      <c r="B17" s="4" t="s">
        <v>1</v>
      </c>
      <c r="C17" s="4" t="s">
        <v>16</v>
      </c>
      <c r="D17" s="4" t="s">
        <v>17</v>
      </c>
      <c r="E17" s="4" t="s">
        <v>18</v>
      </c>
      <c r="F17" s="4" t="s">
        <v>19</v>
      </c>
      <c r="G17" s="4" t="s">
        <v>20</v>
      </c>
      <c r="H17" s="4" t="s">
        <v>2</v>
      </c>
      <c r="I17" s="4" t="s">
        <v>10</v>
      </c>
      <c r="J17" s="4" t="s">
        <v>21</v>
      </c>
    </row>
    <row r="18" spans="1:11" x14ac:dyDescent="0.3">
      <c r="A18" s="4">
        <v>6770</v>
      </c>
      <c r="B18" s="4" t="s">
        <v>22</v>
      </c>
      <c r="C18" s="7">
        <v>366193981</v>
      </c>
      <c r="D18" s="7">
        <v>104523</v>
      </c>
      <c r="E18" s="4">
        <v>27.8</v>
      </c>
      <c r="F18" s="4">
        <v>29.9</v>
      </c>
      <c r="G18" s="4">
        <v>27.65</v>
      </c>
      <c r="H18" s="4">
        <v>29.9</v>
      </c>
      <c r="I18" s="4" t="s">
        <v>14</v>
      </c>
      <c r="J18" s="4">
        <v>2.7</v>
      </c>
    </row>
    <row r="21" spans="1:11" x14ac:dyDescent="0.3">
      <c r="A21" s="5" t="s">
        <v>23</v>
      </c>
    </row>
    <row r="23" spans="1:11" x14ac:dyDescent="0.3">
      <c r="A23" s="5" t="s">
        <v>24</v>
      </c>
    </row>
    <row r="25" spans="1:11" x14ac:dyDescent="0.3">
      <c r="A25" s="5" t="s">
        <v>25</v>
      </c>
    </row>
    <row r="27" spans="1:11" x14ac:dyDescent="0.3">
      <c r="A27" s="5" t="s">
        <v>26</v>
      </c>
    </row>
    <row r="29" spans="1:11" x14ac:dyDescent="0.3">
      <c r="A29" s="10" t="s">
        <v>34</v>
      </c>
      <c r="B29" s="11"/>
      <c r="C29" s="11"/>
      <c r="D29" s="11"/>
      <c r="E29" s="11"/>
      <c r="F29" s="1"/>
      <c r="G29" s="1"/>
      <c r="H29" s="1"/>
      <c r="I29" s="1"/>
      <c r="J29" s="1"/>
      <c r="K29" s="1"/>
    </row>
    <row r="30" spans="1:11" x14ac:dyDescent="0.3">
      <c r="A30" s="4" t="s">
        <v>0</v>
      </c>
      <c r="B30" s="4" t="s">
        <v>1</v>
      </c>
      <c r="C30" s="4" t="s">
        <v>30</v>
      </c>
      <c r="D30" s="4" t="s">
        <v>31</v>
      </c>
      <c r="E30" s="4" t="s">
        <v>32</v>
      </c>
    </row>
    <row r="31" spans="1:11" x14ac:dyDescent="0.3">
      <c r="A31" s="4" t="str">
        <f>"0056  "</f>
        <v xml:space="preserve">0056  </v>
      </c>
      <c r="B31" s="4" t="s">
        <v>33</v>
      </c>
      <c r="C31" s="7">
        <v>26645379</v>
      </c>
      <c r="D31" s="4">
        <v>0</v>
      </c>
      <c r="E31" s="7">
        <v>26645379</v>
      </c>
    </row>
    <row r="34" spans="1:9" x14ac:dyDescent="0.3">
      <c r="A34" s="10" t="s">
        <v>38</v>
      </c>
      <c r="B34" s="11"/>
      <c r="C34" s="11"/>
      <c r="D34" s="11"/>
      <c r="E34" s="11"/>
    </row>
    <row r="35" spans="1:9" x14ac:dyDescent="0.3">
      <c r="A35" s="4" t="s">
        <v>0</v>
      </c>
      <c r="B35" s="4" t="s">
        <v>1</v>
      </c>
      <c r="C35" s="4" t="s">
        <v>27</v>
      </c>
      <c r="D35" s="4" t="s">
        <v>28</v>
      </c>
      <c r="E35" s="4" t="s">
        <v>29</v>
      </c>
    </row>
    <row r="36" spans="1:9" x14ac:dyDescent="0.3">
      <c r="A36" s="4">
        <v>2014</v>
      </c>
      <c r="B36" s="4" t="s">
        <v>37</v>
      </c>
      <c r="C36" s="7">
        <v>5368000</v>
      </c>
      <c r="D36" s="7">
        <v>1101000</v>
      </c>
      <c r="E36" s="7">
        <v>4267000</v>
      </c>
    </row>
    <row r="39" spans="1:9" x14ac:dyDescent="0.3">
      <c r="A39" s="4" t="s">
        <v>39</v>
      </c>
    </row>
    <row r="40" spans="1:9" x14ac:dyDescent="0.3">
      <c r="A40" s="4" t="s">
        <v>0</v>
      </c>
      <c r="B40" s="4" t="s">
        <v>1</v>
      </c>
      <c r="C40" s="4" t="s">
        <v>40</v>
      </c>
      <c r="D40" s="4" t="s">
        <v>52</v>
      </c>
      <c r="E40" s="4" t="s">
        <v>41</v>
      </c>
      <c r="F40" s="4" t="s">
        <v>42</v>
      </c>
      <c r="G40" s="4" t="s">
        <v>43</v>
      </c>
      <c r="H40" s="4" t="s">
        <v>44</v>
      </c>
      <c r="I40" s="8" t="s">
        <v>45</v>
      </c>
    </row>
    <row r="41" spans="1:9" x14ac:dyDescent="0.3">
      <c r="A41" s="4">
        <v>2002</v>
      </c>
      <c r="B41" s="4" t="s">
        <v>46</v>
      </c>
      <c r="C41" s="7">
        <v>30339156</v>
      </c>
      <c r="D41" s="4">
        <v>0</v>
      </c>
      <c r="E41" s="7">
        <v>658040</v>
      </c>
      <c r="F41" s="7">
        <v>8556921</v>
      </c>
      <c r="G41" s="7">
        <v>7304921</v>
      </c>
      <c r="H41" s="7">
        <v>1252000</v>
      </c>
      <c r="I41" s="9">
        <v>39554117</v>
      </c>
    </row>
    <row r="44" spans="1:9" x14ac:dyDescent="0.3">
      <c r="A44" s="4" t="s">
        <v>47</v>
      </c>
    </row>
    <row r="45" spans="1:9" x14ac:dyDescent="0.3">
      <c r="A45" s="12" t="s">
        <v>53</v>
      </c>
      <c r="B45" s="12"/>
      <c r="C45" s="12"/>
      <c r="D45" s="12"/>
    </row>
  </sheetData>
  <mergeCells count="7">
    <mergeCell ref="A1:I1"/>
    <mergeCell ref="A45:D45"/>
    <mergeCell ref="A11:F11"/>
    <mergeCell ref="A6:E6"/>
    <mergeCell ref="A16:M16"/>
    <mergeCell ref="A29:E29"/>
    <mergeCell ref="A34:E3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B10" sqref="B10"/>
    </sheetView>
  </sheetViews>
  <sheetFormatPr defaultRowHeight="16.2" x14ac:dyDescent="0.3"/>
  <cols>
    <col min="1" max="2" width="10.44140625" bestFit="1" customWidth="1"/>
    <col min="3" max="3" width="8.21875" bestFit="1" customWidth="1"/>
    <col min="4" max="4" width="11.44140625" bestFit="1" customWidth="1"/>
    <col min="5" max="5" width="8.21875" bestFit="1" customWidth="1"/>
    <col min="6" max="6" width="12.88671875" bestFit="1" customWidth="1"/>
  </cols>
  <sheetData>
    <row r="1" spans="1:6" x14ac:dyDescent="0.3">
      <c r="A1" s="3" t="s">
        <v>36</v>
      </c>
      <c r="B1" s="3"/>
      <c r="C1" s="3"/>
      <c r="D1" s="3"/>
      <c r="E1" s="3"/>
      <c r="F1" s="3"/>
    </row>
    <row r="2" spans="1:6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6" x14ac:dyDescent="0.3">
      <c r="A3" s="4">
        <v>1101</v>
      </c>
      <c r="B3" s="4" t="s">
        <v>6</v>
      </c>
      <c r="C3" s="4">
        <v>20.85</v>
      </c>
      <c r="D3" s="4">
        <v>4.8</v>
      </c>
      <c r="E3" s="4" t="s">
        <v>7</v>
      </c>
      <c r="F3" s="4">
        <v>0.72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2025-11-25T06:27:53Z</dcterms:modified>
</cp:coreProperties>
</file>